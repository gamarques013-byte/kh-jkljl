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Dados" sheetId="2" state="visible" r:id="rId4"/>
    <sheet name="Fact check" sheetId="3" state="visible" r:id="rId5"/>
    <sheet name="Teste 2036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<sst xmlns="http://schemas.openxmlformats.org/spreadsheetml/2006/main" count="293" uniqueCount="216">
  <si>
    <t xml:space="preserve">Fact check das premissas do revenue build · Intelbras (INTB3)</t>
  </si>
  <si>
    <t xml:space="preserve">Objetivo</t>
  </si>
  <si>
    <t xml:space="preserve">Testar, com fórmulas, se as premissas propostas para a receita fecham com o que a Intelbras reportou.</t>
  </si>
  <si>
    <t xml:space="preserve">Como ler</t>
  </si>
  <si>
    <t xml:space="preserve">Aba 'Fact check': cada linha é um teste. Resultado = o que a premissa implica; Referência = o dado real; Desvio = diferença.</t>
  </si>
  <si>
    <t xml:space="preserve">Aba 'Teste 2036': o que acontece quando as premissas são compostas por 11 anos.</t>
  </si>
  <si>
    <t xml:space="preserve">Aba 'Dados': todos os números usados, com fonte. Mude ali e as outras abas recalculam.</t>
  </si>
  <si>
    <t xml:space="preserve">Cores</t>
  </si>
  <si>
    <t xml:space="preserve">Azul = dado digitado (com fonte) · Preto = fórmula · Verde = vínculo com outra aba · Fundo amarelo = premissa do usuário ou hipótese própria.</t>
  </si>
  <si>
    <t xml:space="preserve">Veredito</t>
  </si>
  <si>
    <t xml:space="preserve">Vermelho = reprovada (não fecha com os dados) · Amarelo = ajustar · Verde = ok.</t>
  </si>
  <si>
    <t xml:space="preserve">Unidades</t>
  </si>
  <si>
    <t xml:space="preserve">R$ mi, salvo indicação. Percentuais guardados como fração. 'p.p.' = pontos percentuais.</t>
  </si>
  <si>
    <t xml:space="preserve">Dados e premissas (R$ mi, salvo indicação)</t>
  </si>
  <si>
    <t xml:space="preserve">1. Premissas propostas</t>
  </si>
  <si>
    <t xml:space="preserve">Mercado MIDI (2026)</t>
  </si>
  <si>
    <t xml:space="preserve">R$ mi</t>
  </si>
  <si>
    <t xml:space="preserve">Premissa do usuário</t>
  </si>
  <si>
    <t xml:space="preserve">Share de Segurança (premissa)</t>
  </si>
  <si>
    <t xml:space="preserve">%</t>
  </si>
  <si>
    <t xml:space="preserve">Premissa do usuário ('estável em 62% do share')</t>
  </si>
  <si>
    <t xml:space="preserve">Solar como % da receita de Energia</t>
  </si>
  <si>
    <t xml:space="preserve">Share solar constante</t>
  </si>
  <si>
    <t xml:space="preserve">2. Receita líquida por BU (R$ mi)</t>
  </si>
  <si>
    <t xml:space="preserve">BU</t>
  </si>
  <si>
    <t xml:space="preserve">2023</t>
  </si>
  <si>
    <t xml:space="preserve">2024</t>
  </si>
  <si>
    <t xml:space="preserve">2025</t>
  </si>
  <si>
    <t xml:space="preserve">1S25</t>
  </si>
  <si>
    <t xml:space="preserve">1S26</t>
  </si>
  <si>
    <t xml:space="preserve">LTM 2T26</t>
  </si>
  <si>
    <t xml:space="preserve">Segurança</t>
  </si>
  <si>
    <t xml:space="preserve">TIC</t>
  </si>
  <si>
    <t xml:space="preserve">Energia</t>
  </si>
  <si>
    <t xml:space="preserve">Total</t>
  </si>
  <si>
    <t xml:space="preserve">Fonte: planilha de RI 2T26 (aba Informações por Segmento), soma dos trimestres. LTM 2T26 = 2025 − 1S25 + 1S26.</t>
  </si>
  <si>
    <t xml:space="preserve">3. Demais dados</t>
  </si>
  <si>
    <t xml:space="preserve">Item</t>
  </si>
  <si>
    <t xml:space="preserve">Valor</t>
  </si>
  <si>
    <t xml:space="preserve">Unidade</t>
  </si>
  <si>
    <t xml:space="preserve">Fonte</t>
  </si>
  <si>
    <t xml:space="preserve">Share MIDI Segurança 2024</t>
  </si>
  <si>
    <t xml:space="preserve">FRE 2026, item 1.1 (controladora)</t>
  </si>
  <si>
    <t xml:space="preserve">Share MIDI Segurança 2025</t>
  </si>
  <si>
    <t xml:space="preserve">FRE 2026, item 1.1 ('mais de 44%')</t>
  </si>
  <si>
    <t xml:space="preserve">Share MIDI TIC 2025</t>
  </si>
  <si>
    <t xml:space="preserve">FRE 2026, item 1.1</t>
  </si>
  <si>
    <t xml:space="preserve">Share MIDI Energia ex-solar 2025</t>
  </si>
  <si>
    <t xml:space="preserve">Share solar 2025</t>
  </si>
  <si>
    <t xml:space="preserve">FRE 2026, item 1.4</t>
  </si>
  <si>
    <t xml:space="preserve">Share solar 1S26</t>
  </si>
  <si>
    <t xml:space="preserve">Case, slide 22 (MW de GD por marca do inversor)</t>
  </si>
  <si>
    <t xml:space="preserve">Share solar 2020</t>
  </si>
  <si>
    <t xml:space="preserve">Case, slide 22</t>
  </si>
  <si>
    <t xml:space="preserve">Receita bruta consolidada 2025</t>
  </si>
  <si>
    <t xml:space="preserve">DFP 2025, NE 26</t>
  </si>
  <si>
    <t xml:space="preserve">Receita líquida consolidada 2025</t>
  </si>
  <si>
    <t xml:space="preserve">Receita bruta consolidada 2024</t>
  </si>
  <si>
    <t xml:space="preserve">Receita líquida consolidada 2024</t>
  </si>
  <si>
    <t xml:space="preserve">Abese: faturamento do setor 2018</t>
  </si>
  <si>
    <t xml:space="preserve">R$ bi</t>
  </si>
  <si>
    <t xml:space="preserve">Case, slide 19 (Abese)</t>
  </si>
  <si>
    <t xml:space="preserve">Abese: faturamento do setor 2024</t>
  </si>
  <si>
    <t xml:space="preserve">Abese, Panorama 2024/25 (Monitor Mercantil)</t>
  </si>
  <si>
    <t xml:space="preserve">Abese: crescimento 2024</t>
  </si>
  <si>
    <t xml:space="preserve">Abese: faturamento do setor 2025</t>
  </si>
  <si>
    <t xml:space="preserve">Abese: faturamento do setor 2026E</t>
  </si>
  <si>
    <t xml:space="preserve">GD (geração distribuída) adicionada em 2025</t>
  </si>
  <si>
    <t xml:space="preserve">GW</t>
  </si>
  <si>
    <t xml:space="preserve">Absolar, via eixos</t>
  </si>
  <si>
    <t xml:space="preserve">Preço do sistema residencial 4 kWp</t>
  </si>
  <si>
    <t xml:space="preserve">R$/Wp</t>
  </si>
  <si>
    <t xml:space="preserve">Case, slide 22 (Greener), 2026</t>
  </si>
  <si>
    <t xml:space="preserve">Preço do sistema comercial 50 kWp</t>
  </si>
  <si>
    <t xml:space="preserve">Equipamento (kit) como % do preço instalado</t>
  </si>
  <si>
    <t xml:space="preserve">Hipótese própria: kit sem instalação e margem do integrador. Calibrar com a Renovigi</t>
  </si>
  <si>
    <t xml:space="preserve">Preço do sistema residencial jan/17</t>
  </si>
  <si>
    <t xml:space="preserve">Case, slide 22 (Greener)</t>
  </si>
  <si>
    <t xml:space="preserve">Anos entre jan/17 e o último preço</t>
  </si>
  <si>
    <t xml:space="preserve">anos</t>
  </si>
  <si>
    <t xml:space="preserve">Aproximação: jan/17 a meados de 2026</t>
  </si>
  <si>
    <t xml:space="preserve">Frota de veículos eletrificados 2025</t>
  </si>
  <si>
    <t xml:space="preserve">mil</t>
  </si>
  <si>
    <t xml:space="preserve">FRE 2026, item 1.4 (Senatran)</t>
  </si>
  <si>
    <t xml:space="preserve">Crescimento da frota eletrificada 2025</t>
  </si>
  <si>
    <t xml:space="preserve">Frota de automóveis no Brasil (2024)</t>
  </si>
  <si>
    <t xml:space="preserve">Senatran, via Portal do Trânsito</t>
  </si>
  <si>
    <t xml:space="preserve">Banda larga fixa: crescimento de acessos 2025</t>
  </si>
  <si>
    <t xml:space="preserve">Anatel, via TI Inside</t>
  </si>
  <si>
    <t xml:space="preserve">PIB real de longo prazo</t>
  </si>
  <si>
    <t xml:space="preserve">Focus (2029)</t>
  </si>
  <si>
    <t xml:space="preserve">IPCA de longo prazo</t>
  </si>
  <si>
    <t xml:space="preserve">Anos de projeção (2026–2036)</t>
  </si>
  <si>
    <t xml:space="preserve">Horizonte do modelo</t>
  </si>
  <si>
    <t xml:space="preserve">JP Morgan: crescimento da receita no 2S26</t>
  </si>
  <si>
    <t xml:space="preserve">Money Times, set/26</t>
  </si>
  <si>
    <t xml:space="preserve">XP: crescimento da receita em 2026</t>
  </si>
  <si>
    <t xml:space="preserve">XP, prévia 1T26</t>
  </si>
  <si>
    <t xml:space="preserve">Fact check das premissas</t>
  </si>
  <si>
    <t xml:space="preserve">Resultado = o que a premissa implica · Referência = dado reportado ou fonte externa · Desvio = Resultado vs Referência</t>
  </si>
  <si>
    <t xml:space="preserve">#</t>
  </si>
  <si>
    <t xml:space="preserve">Premissa</t>
  </si>
  <si>
    <t xml:space="preserve">Teste</t>
  </si>
  <si>
    <t xml:space="preserve">Resultado</t>
  </si>
  <si>
    <t xml:space="preserve">Referência</t>
  </si>
  <si>
    <t xml:space="preserve">Desvio</t>
  </si>
  <si>
    <t xml:space="preserve">O que fazer</t>
  </si>
  <si>
    <t xml:space="preserve">Mercado (R$ 7,2 bi do MIDI)</t>
  </si>
  <si>
    <t xml:space="preserve">Mercado de R$7,2 bi dividido entre as 3 BUs</t>
  </si>
  <si>
    <t xml:space="preserve">Só o mercado de TIC implícito no MIDI (receita ÷ share) cabe em R$7,2 bi?</t>
  </si>
  <si>
    <t xml:space="preserve">Reprovada</t>
  </si>
  <si>
    <t xml:space="preserve">Os R$7,2 bi são só Segurança (slide 20: vídeo, alarmes e acesso). Cada BU precisa do seu mercado.</t>
  </si>
  <si>
    <t xml:space="preserve">Share de 62%, leitura A: market share</t>
  </si>
  <si>
    <t xml:space="preserve">7,2 bi × 62% = receita de Segurança de 2025?</t>
  </si>
  <si>
    <t xml:space="preserve">62% × 7,2 bi = R$4,46 bi, a receita da Intelbras inteira em 2025.</t>
  </si>
  <si>
    <t xml:space="preserve">Share de 62%, leitura B: 62% do mercado é Segurança</t>
  </si>
  <si>
    <t xml:space="preserve">7,2 bi × 62% × share de 44% = receita de Segurança?</t>
  </si>
  <si>
    <t xml:space="preserve">Também não fecha: fica 28% abaixo.</t>
  </si>
  <si>
    <t xml:space="preserve">O que é o 62%?</t>
  </si>
  <si>
    <t xml:space="preserve">Peso de Segurança na receita (LTM 2T26) vs market share do FRE</t>
  </si>
  <si>
    <t xml:space="preserve">62% é o peso da BU na receita da Intelbras, não market share. O share do FRE é 44%.</t>
  </si>
  <si>
    <t xml:space="preserve">Share do FRE (44%) sobre os 7,2 bi</t>
  </si>
  <si>
    <t xml:space="preserve">7,2 bi × 44% vs receita líquida de Segurança 2025</t>
  </si>
  <si>
    <t xml:space="preserve">Ajustar</t>
  </si>
  <si>
    <t xml:space="preserve">Não fecha na receita líquida. Os 7,2 bi e os 44% têm definições diferentes.</t>
  </si>
  <si>
    <t xml:space="preserve">7,2 bi × 44% vs receita bruta estimada de Segurança (líquida × bruta/líquida consolidada)</t>
  </si>
  <si>
    <t xml:space="preserve">Também não fecha na bruta. Solução: share calibrado ou método de índice (linha abaixo).</t>
  </si>
  <si>
    <t xml:space="preserve">Share calibrado, se usar os 7,2 bi</t>
  </si>
  <si>
    <t xml:space="preserve">Receita de Segurança LTM 2T26 ÷ 7,2 bi</t>
  </si>
  <si>
    <t xml:space="preserve">Use ~39% como share calibrado ou projete Receita(t) = Receita(2025) × Mercado(t)/Mercado(2025) × Share(t)/Share(2025).</t>
  </si>
  <si>
    <t xml:space="preserve">Crescimento pela Abese: 2024</t>
  </si>
  <si>
    <t xml:space="preserve">Crescimento do setor (Abese) vs receita de Segurança da Intelbras</t>
  </si>
  <si>
    <t xml:space="preserve">OK</t>
  </si>
  <si>
    <t xml:space="preserve">Bateu em 2024, ano de recomposição de estoque após a seca de 2023.</t>
  </si>
  <si>
    <t xml:space="preserve">Crescimento pela Abese: 2025</t>
  </si>
  <si>
    <t xml:space="preserve">Abese 2025 vs Segurança 2025 (o share MIDI ficou estável, 43% → 44%)</t>
  </si>
  <si>
    <t xml:space="preserve">A Abese inclui serviços (monitoramento, portaria remota +24%, software +22%). O mercado de equipamentos cresceu ~2,5%.</t>
  </si>
  <si>
    <t xml:space="preserve">Crescimento pela Abese: 2026</t>
  </si>
  <si>
    <t xml:space="preserve">Abese 2026E vs Segurança no 1S26</t>
  </si>
  <si>
    <t xml:space="preserve">A diferença aumenta. O release diz que o 1S26 'reflete o mercado em geral' (+5,8%).</t>
  </si>
  <si>
    <t xml:space="preserve">Backtest: Abese com share estável</t>
  </si>
  <si>
    <t xml:space="preserve">Segurança 2024 × (1 + Abese 2025) vs Segurança 2025 real</t>
  </si>
  <si>
    <t xml:space="preserve">A premissa teria errado 2025 em ~9% para cima já no primeiro ano.</t>
  </si>
  <si>
    <t xml:space="preserve">Abese composta até 2036</t>
  </si>
  <si>
    <t xml:space="preserve">Segurança 2036 com o CAGR da Abese 2018–25 vs com o PIB nominal de longo prazo</t>
  </si>
  <si>
    <t xml:space="preserve">Segurança chegaria a ~R$12 bi, 1,7x o mercado de hoje. Não converge para o g da perpetuidade (ver 'Teste 2036').</t>
  </si>
  <si>
    <t xml:space="preserve">Energia: solar</t>
  </si>
  <si>
    <t xml:space="preserve">Solar = 50% da receita de Energia</t>
  </si>
  <si>
    <t xml:space="preserve">Preço por watt implícito: (Energia 2025 × 50%) ÷ (GD 2025 × share 1,9%) vs preço do kit</t>
  </si>
  <si>
    <t xml:space="preserve">50% exigiria vender o kit a ~R$2,54/W, acima do sistema comercial instalado (R$2,02). Implausível.</t>
  </si>
  <si>
    <t xml:space="preserve">Peso de solar implícito pelo preço do kit: GD × share × R$/W ÷ Energia 2025</t>
  </si>
  <si>
    <t xml:space="preserve">Solar seria ~1/3 em 2025 e menos em 2026 (nobreaks e carregadores crescendo; solar no 'novo patamar').</t>
  </si>
  <si>
    <t xml:space="preserve">Share solar constante em 1,8%</t>
  </si>
  <si>
    <t xml:space="preserve">Premissa vs último dado (1S26)</t>
  </si>
  <si>
    <t xml:space="preserve">A premissa já parte acima do dado atual.</t>
  </si>
  <si>
    <t xml:space="preserve">Tendência: variação anual do share 2020–25 vs premissa de 0%</t>
  </si>
  <si>
    <t xml:space="preserve">O share cai ~26% ao ano, e a empresa despriorizou solar desde o 3T25. No mínimo, deixe-o cair até um piso.</t>
  </si>
  <si>
    <t xml:space="preserve">Crescimento pela Absolar (GW)</t>
  </si>
  <si>
    <t xml:space="preserve">Variação anual do preço por watt (jan/17 → 2026) vs crescimento em GW</t>
  </si>
  <si>
    <t xml:space="preserve">Receita em R$ = GW × share × R$/W. Crescer pela Absolar em GW sem o preço superestima a receita.</t>
  </si>
  <si>
    <t xml:space="preserve">Perímetro do share solar</t>
  </si>
  <si>
    <t xml:space="preserve">O 1,9% é medido sobre toda a GD (micro + mini). A premissa usa só microgeração on-grid.</t>
  </si>
  <si>
    <t xml:space="preserve">—</t>
  </si>
  <si>
    <t xml:space="preserve">Share e mercado no mesmo perímetro: recalcule o share só sobre a micro, ou use a GD total.</t>
  </si>
  <si>
    <t xml:space="preserve">Energia: sem solar</t>
  </si>
  <si>
    <t xml:space="preserve">Outros 50% = nobreaks + carregadores</t>
  </si>
  <si>
    <t xml:space="preserve">A divisão cobre o portfólio do FRE?</t>
  </si>
  <si>
    <t xml:space="preserve">Faltam fontes de alimentação (CFTV) e baterias/proteção (FRE 1.4: itens xiv e xv). Use o share MIDI de 19% de Energia ex-solar.</t>
  </si>
  <si>
    <t xml:space="preserve">Carregadores pela frota de VE</t>
  </si>
  <si>
    <t xml:space="preserve">Frota eletrificada em 2036 crescendo 64% a.a. vs frota total de automóveis</t>
  </si>
  <si>
    <t xml:space="preserve">Daria mais veículos elétricos que automóveis no país. Use curva de penetração (% das vendas), com teto.</t>
  </si>
  <si>
    <t xml:space="preserve">TIC cresce com o setor de fibra</t>
  </si>
  <si>
    <t xml:space="preserve">2025: TIC vs acessos de banda larga</t>
  </si>
  <si>
    <t xml:space="preserve">A TIC caiu 8% com o setor crescendo: a Intelbras reduziu GPON de propósito.</t>
  </si>
  <si>
    <t xml:space="preserve">1S26: TIC vs acessos de banda larga</t>
  </si>
  <si>
    <t xml:space="preserve">Agora a TIC sobe 13,7%: antidumping em cabos (fábrica no limite) e redes empresariais. O setor de fibra não explica nenhum dos dois anos.</t>
  </si>
  <si>
    <t xml:space="preserve">Receita bruta e total</t>
  </si>
  <si>
    <t xml:space="preserve">Projetar receita bruta</t>
  </si>
  <si>
    <t xml:space="preserve">Receita bruta ÷ líquida consolidada 2025 vs 2024</t>
  </si>
  <si>
    <t xml:space="preserve">Os segmentos só divulgam receita líquida, e a reforma tributária (2027–33) e o fim do ICMS incentivado mudam as deduções. Projete a líquida.</t>
  </si>
  <si>
    <t xml:space="preserve">Total 2026E com as premissas literais</t>
  </si>
  <si>
    <t xml:space="preserve">Segurança (7,2 bi × 62%) + TIC 2025 × (1 + banda larga) + Energia LTM vs receita total de 2025</t>
  </si>
  <si>
    <t xml:space="preserve">Salto de ~38% no primeiro ano. O 1S26 cresceu 4,2%; JP Morgan vê +3,1% no 2S26; XP, +0,5% em 2026.</t>
  </si>
  <si>
    <t xml:space="preserve">Resumo</t>
  </si>
  <si>
    <t xml:space="preserve">Reprovadas</t>
  </si>
  <si>
    <t xml:space="preserve">Teste 2036: as premissas compostas por 11 anos (R$ mi)</t>
  </si>
  <si>
    <t xml:space="preserve">Não são cases: mostra só o que cada taxa de crescimento implica no ano terminal.</t>
  </si>
  <si>
    <t xml:space="preserve">Taxas</t>
  </si>
  <si>
    <t xml:space="preserve">CAGR da Abese 2018–25</t>
  </si>
  <si>
    <t xml:space="preserve">Crescimento da Abese 2026E</t>
  </si>
  <si>
    <t xml:space="preserve">PIB nominal de longo prazo (Focus 2029)</t>
  </si>
  <si>
    <t xml:space="preserve">Mercado MIDI implícito 2025 (receita × share 2024/2025)</t>
  </si>
  <si>
    <t xml:space="preserve">Frota eletrificada (2025)</t>
  </si>
  <si>
    <t xml:space="preserve">Linha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</si>
  <si>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</si>
  <si>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</si>
  <si>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</si>
  <si>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</si>
  <si>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</si>
  <si>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</si>
  <si>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</si>
  <si>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</si>
  <si>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</si>
  <si>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</si>
  <si>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2036E</t>
  </si>
  <si>
    <t xml:space="preserve">2036 ÷ 2025</t>
  </si>
  <si>
    <t xml:space="preserve">Segurança: Abese (CAGR 2018–25)</t>
  </si>
  <si>
    <t xml:space="preserve">Segurança: premissa literal (7,2 bi × 62% em 2026, depois Abese)</t>
  </si>
  <si>
    <t xml:space="preserve">Segurança: PIB nominal de longo prazo</t>
  </si>
  <si>
    <t xml:space="preserve">Segurança: mercado MIDI implícito de 2025</t>
  </si>
  <si>
    <t xml:space="preserve">Frota eletrificada (mil) a +64% a.a.</t>
  </si>
  <si>
    <t xml:space="preserve">Referências</t>
  </si>
  <si>
    <t xml:space="preserve">Mercado de Segurança hoje (premissa de 7,2 bi)</t>
  </si>
  <si>
    <t xml:space="preserve">Receita total da Intelbras em 2025</t>
  </si>
  <si>
    <t xml:space="preserve">Frota de automóveis no Brasil (mil, 2024)</t>
  </si>
  <si>
    <t xml:space="preserve">Leitura: com a Abese, Segurança sozinha chegaria a ~1,7x o mercado de hoje; pela premissa literal, quase 4x a receita atual da empresa. A frota elétrica passaria a frota total de automóveis. Taxas de curto prazo não podem ser compostas por 11 anos: use o fade até o g da perpetuidade.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</si>
</sst>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#,##0.0;\(#,##0.0\);\-"/>
    <numFmt numFmtId="168" formatCode="0.00"/>
    <numFmt numFmtId="169" formatCode="0.0"/>
    <numFmt numFmtId="170" formatCode="0"/>
    <numFmt numFmtId="171" formatCode="\+0.0%;\-0.0%;\-"/>
    <numFmt numFmtId="172" formatCode="\+0.0&quot; p.p.&quot;;\-0.0&quot; p.p.&quot;;\-"/>
    <numFmt numFmtId="173" formatCode="&quot;R$ &quot;0.00&quot;/W&quot;"/>
    <numFmt numFmtId="174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00A651"/>
        <bgColor rgb="FF008080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E2EFDA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4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0A651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/>
      <c r="B5" s="3" t="s">
        <v>5</v>
      </c>
    </row>
    <row r="6" customFormat="false" ht="15" hidden="false" customHeight="false" outlineLevel="0" collapsed="false">
      <c r="A6" s="2"/>
      <c r="B6" s="3" t="s">
        <v>6</v>
      </c>
    </row>
    <row r="7" customFormat="false" ht="15" hidden="false" customHeight="false" outlineLevel="0" collapsed="false">
      <c r="A7" s="2" t="s">
        <v>7</v>
      </c>
      <c r="B7" s="3" t="s">
        <v>8</v>
      </c>
    </row>
    <row r="8" customFormat="false" ht="15" hidden="false" customHeight="false" outlineLevel="0" collapsed="false">
      <c r="A8" s="2" t="s">
        <v>9</v>
      </c>
      <c r="B8" s="3" t="s">
        <v>10</v>
      </c>
    </row>
    <row r="9" customFormat="false" ht="15" hidden="false" customHeight="false" outlineLevel="0" collapsed="false">
      <c r="A9" s="2" t="s">
        <v>11</v>
      </c>
      <c r="B9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64"/>
    <col collapsed="false" customWidth="true" hidden="false" outlineLevel="0" max="6" min="5" style="0" width="10"/>
    <col collapsed="false" customWidth="true" hidden="false" outlineLevel="0" max="7" min="7" style="0" width="11"/>
  </cols>
  <sheetData>
    <row r="1" customFormat="false" ht="16.15" hidden="false" customHeight="false" outlineLevel="0" collapsed="false">
      <c r="A1" s="1" t="s">
        <v>13</v>
      </c>
    </row>
    <row r="3" customFormat="false" ht="15" hidden="false" customHeight="false" outlineLevel="0" collapsed="false">
      <c r="A3" s="4" t="s">
        <v>14</v>
      </c>
    </row>
    <row r="4" customFormat="false" ht="15" hidden="false" customHeight="false" outlineLevel="0" collapsed="false">
      <c r="A4" s="5" t="s">
        <v>15</v>
      </c>
      <c r="B4" s="6" t="n">
        <v>7200</v>
      </c>
      <c r="C4" s="5" t="s">
        <v>16</v>
      </c>
      <c r="D4" s="7" t="s">
        <v>17</v>
      </c>
    </row>
    <row r="5" customFormat="false" ht="15" hidden="false" customHeight="false" outlineLevel="0" collapsed="false">
      <c r="A5" s="5" t="s">
        <v>18</v>
      </c>
      <c r="B5" s="8" t="n">
        <v>0.62</v>
      </c>
      <c r="C5" s="5" t="s">
        <v>19</v>
      </c>
      <c r="D5" s="7" t="s">
        <v>20</v>
      </c>
    </row>
    <row r="6" customFormat="false" ht="15" hidden="false" customHeight="false" outlineLevel="0" collapsed="false">
      <c r="A6" s="5" t="s">
        <v>21</v>
      </c>
      <c r="B6" s="8" t="n">
        <v>0.5</v>
      </c>
      <c r="C6" s="5" t="s">
        <v>19</v>
      </c>
      <c r="D6" s="7" t="s">
        <v>17</v>
      </c>
    </row>
    <row r="7" customFormat="false" ht="15" hidden="false" customHeight="false" outlineLevel="0" collapsed="false">
      <c r="A7" s="5" t="s">
        <v>22</v>
      </c>
      <c r="B7" s="8" t="n">
        <v>0.018</v>
      </c>
      <c r="C7" s="5" t="s">
        <v>19</v>
      </c>
      <c r="D7" s="7" t="s">
        <v>17</v>
      </c>
    </row>
    <row r="10" customFormat="false" ht="15" hidden="false" customHeight="false" outlineLevel="0" collapsed="false">
      <c r="A10" s="4" t="s">
        <v>23</v>
      </c>
    </row>
    <row r="11" customFormat="false" ht="15" hidden="false" customHeight="false" outlineLevel="0" collapsed="false">
      <c r="A11" s="9" t="s">
        <v>24</v>
      </c>
      <c r="B11" s="9" t="s">
        <v>25</v>
      </c>
      <c r="C11" s="9" t="s">
        <v>26</v>
      </c>
      <c r="D11" s="9" t="s">
        <v>27</v>
      </c>
      <c r="E11" s="9" t="s">
        <v>28</v>
      </c>
      <c r="F11" s="9" t="s">
        <v>29</v>
      </c>
      <c r="G11" s="9" t="s">
        <v>30</v>
      </c>
    </row>
    <row r="12" customFormat="false" ht="15" hidden="false" customHeight="false" outlineLevel="0" collapsed="false">
      <c r="A12" s="5" t="s">
        <v>31</v>
      </c>
      <c r="B12" s="10" t="n">
        <v>2225.2</v>
      </c>
      <c r="C12" s="10" t="n">
        <v>2602.7</v>
      </c>
      <c r="D12" s="10" t="n">
        <v>2730.3</v>
      </c>
      <c r="E12" s="10" t="n">
        <v>1305.2</v>
      </c>
      <c r="F12" s="10" t="n">
        <v>1380.9</v>
      </c>
      <c r="G12" s="11" t="n">
        <f aca="false">D12-E12+F12</f>
        <v>2806</v>
      </c>
    </row>
    <row r="13" customFormat="false" ht="15" hidden="false" customHeight="false" outlineLevel="0" collapsed="false">
      <c r="A13" s="5" t="s">
        <v>32</v>
      </c>
      <c r="B13" s="10" t="n">
        <v>907.9</v>
      </c>
      <c r="C13" s="10" t="n">
        <v>1062.2</v>
      </c>
      <c r="D13" s="10" t="n">
        <v>977.2</v>
      </c>
      <c r="E13" s="10" t="n">
        <v>470.8</v>
      </c>
      <c r="F13" s="10" t="n">
        <v>535.4</v>
      </c>
      <c r="G13" s="11" t="n">
        <f aca="false">D13-E13+F13</f>
        <v>1041.8</v>
      </c>
    </row>
    <row r="14" customFormat="false" ht="15" hidden="false" customHeight="false" outlineLevel="0" collapsed="false">
      <c r="A14" s="5" t="s">
        <v>33</v>
      </c>
      <c r="B14" s="10" t="n">
        <v>970.5</v>
      </c>
      <c r="C14" s="10" t="n">
        <v>1091.2</v>
      </c>
      <c r="D14" s="10" t="n">
        <v>752.9</v>
      </c>
      <c r="E14" s="10" t="n">
        <v>391.8</v>
      </c>
      <c r="F14" s="10" t="n">
        <v>343.4</v>
      </c>
      <c r="G14" s="11" t="n">
        <f aca="false">D14-E14+F14</f>
        <v>704.5</v>
      </c>
    </row>
    <row r="15" customFormat="false" ht="15" hidden="false" customHeight="false" outlineLevel="0" collapsed="false">
      <c r="A15" s="2" t="s">
        <v>34</v>
      </c>
      <c r="B15" s="12" t="n">
        <f aca="false">SUM(B12:B14)</f>
        <v>4103.6</v>
      </c>
      <c r="C15" s="12" t="n">
        <f aca="false">SUM(C12:C14)</f>
        <v>4756.1</v>
      </c>
      <c r="D15" s="12" t="n">
        <f aca="false">SUM(D12:D14)</f>
        <v>4460.4</v>
      </c>
      <c r="E15" s="12" t="n">
        <f aca="false">SUM(E12:E14)</f>
        <v>2167.8</v>
      </c>
      <c r="F15" s="12" t="n">
        <f aca="false">SUM(F12:F14)</f>
        <v>2259.7</v>
      </c>
      <c r="G15" s="12" t="n">
        <f aca="false">SUM(G12:G14)</f>
        <v>4552.3</v>
      </c>
    </row>
    <row r="16" customFormat="false" ht="15" hidden="false" customHeight="false" outlineLevel="0" collapsed="false">
      <c r="A16" s="7" t="s">
        <v>35</v>
      </c>
    </row>
    <row r="18" customFormat="false" ht="15" hidden="false" customHeight="false" outlineLevel="0" collapsed="false">
      <c r="A18" s="4" t="s">
        <v>36</v>
      </c>
    </row>
    <row r="19" customFormat="false" ht="15" hidden="false" customHeight="false" outlineLevel="0" collapsed="false">
      <c r="A19" s="13" t="s">
        <v>37</v>
      </c>
      <c r="B19" s="13" t="s">
        <v>38</v>
      </c>
      <c r="C19" s="13" t="s">
        <v>39</v>
      </c>
      <c r="D19" s="13" t="s">
        <v>40</v>
      </c>
    </row>
    <row r="20" customFormat="false" ht="15" hidden="false" customHeight="false" outlineLevel="0" collapsed="false">
      <c r="A20" s="5" t="s">
        <v>41</v>
      </c>
      <c r="B20" s="14" t="n">
        <v>0.43</v>
      </c>
      <c r="C20" s="5" t="s">
        <v>19</v>
      </c>
      <c r="D20" s="7" t="s">
        <v>42</v>
      </c>
    </row>
    <row r="21" customFormat="false" ht="15" hidden="false" customHeight="false" outlineLevel="0" collapsed="false">
      <c r="A21" s="5" t="s">
        <v>43</v>
      </c>
      <c r="B21" s="14" t="n">
        <v>0.44</v>
      </c>
      <c r="C21" s="5" t="s">
        <v>19</v>
      </c>
      <c r="D21" s="7" t="s">
        <v>44</v>
      </c>
    </row>
    <row r="22" customFormat="false" ht="15" hidden="false" customHeight="false" outlineLevel="0" collapsed="false">
      <c r="A22" s="5" t="s">
        <v>45</v>
      </c>
      <c r="B22" s="14" t="n">
        <v>0.09</v>
      </c>
      <c r="C22" s="5" t="s">
        <v>19</v>
      </c>
      <c r="D22" s="7" t="s">
        <v>46</v>
      </c>
    </row>
    <row r="23" customFormat="false" ht="15" hidden="false" customHeight="false" outlineLevel="0" collapsed="false">
      <c r="A23" s="5" t="s">
        <v>47</v>
      </c>
      <c r="B23" s="14" t="n">
        <v>0.19</v>
      </c>
      <c r="C23" s="5" t="s">
        <v>19</v>
      </c>
      <c r="D23" s="7" t="s">
        <v>46</v>
      </c>
    </row>
    <row r="24" customFormat="false" ht="15" hidden="false" customHeight="false" outlineLevel="0" collapsed="false">
      <c r="A24" s="5" t="s">
        <v>48</v>
      </c>
      <c r="B24" s="14" t="n">
        <v>0.019</v>
      </c>
      <c r="C24" s="5" t="s">
        <v>19</v>
      </c>
      <c r="D24" s="7" t="s">
        <v>49</v>
      </c>
    </row>
    <row r="25" customFormat="false" ht="15" hidden="false" customHeight="false" outlineLevel="0" collapsed="false">
      <c r="A25" s="5" t="s">
        <v>50</v>
      </c>
      <c r="B25" s="14" t="n">
        <v>0.017</v>
      </c>
      <c r="C25" s="5" t="s">
        <v>19</v>
      </c>
      <c r="D25" s="7" t="s">
        <v>51</v>
      </c>
    </row>
    <row r="26" customFormat="false" ht="15" hidden="false" customHeight="false" outlineLevel="0" collapsed="false">
      <c r="A26" s="5" t="s">
        <v>52</v>
      </c>
      <c r="B26" s="14" t="n">
        <v>0.085</v>
      </c>
      <c r="C26" s="5" t="s">
        <v>19</v>
      </c>
      <c r="D26" s="7" t="s">
        <v>53</v>
      </c>
    </row>
    <row r="27" customFormat="false" ht="15" hidden="false" customHeight="false" outlineLevel="0" collapsed="false">
      <c r="A27" s="5" t="s">
        <v>54</v>
      </c>
      <c r="B27" s="10" t="n">
        <v>5658.5</v>
      </c>
      <c r="C27" s="5" t="s">
        <v>16</v>
      </c>
      <c r="D27" s="7" t="s">
        <v>55</v>
      </c>
    </row>
    <row r="28" customFormat="false" ht="15" hidden="false" customHeight="false" outlineLevel="0" collapsed="false">
      <c r="A28" s="5" t="s">
        <v>56</v>
      </c>
      <c r="B28" s="10" t="n">
        <v>4460.4</v>
      </c>
      <c r="C28" s="5" t="s">
        <v>16</v>
      </c>
      <c r="D28" s="7" t="s">
        <v>55</v>
      </c>
    </row>
    <row r="29" customFormat="false" ht="15" hidden="false" customHeight="false" outlineLevel="0" collapsed="false">
      <c r="A29" s="5" t="s">
        <v>57</v>
      </c>
      <c r="B29" s="10" t="n">
        <v>6016.9</v>
      </c>
      <c r="C29" s="5" t="s">
        <v>16</v>
      </c>
      <c r="D29" s="7" t="s">
        <v>55</v>
      </c>
    </row>
    <row r="30" customFormat="false" ht="15" hidden="false" customHeight="false" outlineLevel="0" collapsed="false">
      <c r="A30" s="5" t="s">
        <v>58</v>
      </c>
      <c r="B30" s="10" t="n">
        <v>4756.1</v>
      </c>
      <c r="C30" s="5" t="s">
        <v>16</v>
      </c>
      <c r="D30" s="7" t="s">
        <v>55</v>
      </c>
    </row>
    <row r="31" customFormat="false" ht="15" hidden="false" customHeight="false" outlineLevel="0" collapsed="false">
      <c r="A31" s="5" t="s">
        <v>59</v>
      </c>
      <c r="B31" s="15" t="n">
        <v>6.25</v>
      </c>
      <c r="C31" s="5" t="s">
        <v>60</v>
      </c>
      <c r="D31" s="7" t="s">
        <v>61</v>
      </c>
    </row>
    <row r="32" customFormat="false" ht="15" hidden="false" customHeight="false" outlineLevel="0" collapsed="false">
      <c r="A32" s="5" t="s">
        <v>62</v>
      </c>
      <c r="B32" s="15" t="n">
        <v>14</v>
      </c>
      <c r="C32" s="5" t="s">
        <v>60</v>
      </c>
      <c r="D32" s="7" t="s">
        <v>63</v>
      </c>
    </row>
    <row r="33" customFormat="false" ht="15" hidden="false" customHeight="false" outlineLevel="0" collapsed="false">
      <c r="A33" s="5" t="s">
        <v>64</v>
      </c>
      <c r="B33" s="14" t="n">
        <v>0.161</v>
      </c>
      <c r="C33" s="5" t="s">
        <v>19</v>
      </c>
      <c r="D33" s="7" t="s">
        <v>63</v>
      </c>
    </row>
    <row r="34" customFormat="false" ht="15" hidden="false" customHeight="false" outlineLevel="0" collapsed="false">
      <c r="A34" s="5" t="s">
        <v>65</v>
      </c>
      <c r="B34" s="15" t="n">
        <v>16</v>
      </c>
      <c r="C34" s="5" t="s">
        <v>60</v>
      </c>
      <c r="D34" s="7" t="s">
        <v>61</v>
      </c>
    </row>
    <row r="35" customFormat="false" ht="15" hidden="false" customHeight="false" outlineLevel="0" collapsed="false">
      <c r="A35" s="5" t="s">
        <v>66</v>
      </c>
      <c r="B35" s="15" t="n">
        <v>19</v>
      </c>
      <c r="C35" s="5" t="s">
        <v>60</v>
      </c>
      <c r="D35" s="7" t="s">
        <v>61</v>
      </c>
    </row>
    <row r="36" customFormat="false" ht="15" hidden="false" customHeight="false" outlineLevel="0" collapsed="false">
      <c r="A36" s="5" t="s">
        <v>67</v>
      </c>
      <c r="B36" s="16" t="n">
        <v>7.8</v>
      </c>
      <c r="C36" s="5" t="s">
        <v>68</v>
      </c>
      <c r="D36" s="7" t="s">
        <v>69</v>
      </c>
    </row>
    <row r="37" customFormat="false" ht="15" hidden="false" customHeight="false" outlineLevel="0" collapsed="false">
      <c r="A37" s="5" t="s">
        <v>70</v>
      </c>
      <c r="B37" s="15" t="n">
        <v>2.91</v>
      </c>
      <c r="C37" s="5" t="s">
        <v>71</v>
      </c>
      <c r="D37" s="7" t="s">
        <v>72</v>
      </c>
    </row>
    <row r="38" customFormat="false" ht="15" hidden="false" customHeight="false" outlineLevel="0" collapsed="false">
      <c r="A38" s="5" t="s">
        <v>73</v>
      </c>
      <c r="B38" s="15" t="n">
        <v>2.02</v>
      </c>
      <c r="C38" s="5" t="s">
        <v>71</v>
      </c>
      <c r="D38" s="7" t="s">
        <v>72</v>
      </c>
    </row>
    <row r="39" customFormat="false" ht="15" hidden="false" customHeight="false" outlineLevel="0" collapsed="false">
      <c r="A39" s="5" t="s">
        <v>74</v>
      </c>
      <c r="B39" s="8" t="n">
        <v>0.6</v>
      </c>
      <c r="C39" s="5" t="s">
        <v>19</v>
      </c>
      <c r="D39" s="7" t="s">
        <v>75</v>
      </c>
    </row>
    <row r="40" customFormat="false" ht="15" hidden="false" customHeight="false" outlineLevel="0" collapsed="false">
      <c r="A40" s="5" t="s">
        <v>76</v>
      </c>
      <c r="B40" s="15" t="n">
        <v>8.77</v>
      </c>
      <c r="C40" s="5" t="s">
        <v>71</v>
      </c>
      <c r="D40" s="7" t="s">
        <v>77</v>
      </c>
    </row>
    <row r="41" customFormat="false" ht="15" hidden="false" customHeight="false" outlineLevel="0" collapsed="false">
      <c r="A41" s="5" t="s">
        <v>78</v>
      </c>
      <c r="B41" s="17" t="n">
        <v>9.5</v>
      </c>
      <c r="C41" s="5" t="s">
        <v>79</v>
      </c>
      <c r="D41" s="7" t="s">
        <v>80</v>
      </c>
    </row>
    <row r="42" customFormat="false" ht="15" hidden="false" customHeight="false" outlineLevel="0" collapsed="false">
      <c r="A42" s="5" t="s">
        <v>81</v>
      </c>
      <c r="B42" s="18" t="n">
        <v>613</v>
      </c>
      <c r="C42" s="5" t="s">
        <v>82</v>
      </c>
      <c r="D42" s="7" t="s">
        <v>83</v>
      </c>
    </row>
    <row r="43" customFormat="false" ht="15" hidden="false" customHeight="false" outlineLevel="0" collapsed="false">
      <c r="A43" s="5" t="s">
        <v>84</v>
      </c>
      <c r="B43" s="14" t="n">
        <v>0.64</v>
      </c>
      <c r="C43" s="5" t="s">
        <v>19</v>
      </c>
      <c r="D43" s="7" t="s">
        <v>49</v>
      </c>
    </row>
    <row r="44" customFormat="false" ht="15" hidden="false" customHeight="false" outlineLevel="0" collapsed="false">
      <c r="A44" s="5" t="s">
        <v>85</v>
      </c>
      <c r="B44" s="18" t="n">
        <v>63300</v>
      </c>
      <c r="C44" s="5" t="s">
        <v>82</v>
      </c>
      <c r="D44" s="7" t="s">
        <v>86</v>
      </c>
    </row>
    <row r="45" customFormat="false" ht="15" hidden="false" customHeight="false" outlineLevel="0" collapsed="false">
      <c r="A45" s="5" t="s">
        <v>87</v>
      </c>
      <c r="B45" s="14" t="n">
        <v>0.027</v>
      </c>
      <c r="C45" s="5" t="s">
        <v>19</v>
      </c>
      <c r="D45" s="7" t="s">
        <v>88</v>
      </c>
    </row>
    <row r="46" customFormat="false" ht="15" hidden="false" customHeight="false" outlineLevel="0" collapsed="false">
      <c r="A46" s="5" t="s">
        <v>89</v>
      </c>
      <c r="B46" s="14" t="n">
        <v>0.02</v>
      </c>
      <c r="C46" s="5" t="s">
        <v>19</v>
      </c>
      <c r="D46" s="7" t="s">
        <v>90</v>
      </c>
    </row>
    <row r="47" customFormat="false" ht="15" hidden="false" customHeight="false" outlineLevel="0" collapsed="false">
      <c r="A47" s="5" t="s">
        <v>91</v>
      </c>
      <c r="B47" s="14" t="n">
        <v>0.035</v>
      </c>
      <c r="C47" s="5" t="s">
        <v>19</v>
      </c>
      <c r="D47" s="7" t="s">
        <v>90</v>
      </c>
    </row>
    <row r="48" customFormat="false" ht="15" hidden="false" customHeight="false" outlineLevel="0" collapsed="false">
      <c r="A48" s="5" t="s">
        <v>92</v>
      </c>
      <c r="B48" s="19" t="n">
        <v>11</v>
      </c>
      <c r="C48" s="5" t="s">
        <v>79</v>
      </c>
      <c r="D48" s="7" t="s">
        <v>93</v>
      </c>
    </row>
    <row r="49" customFormat="false" ht="15" hidden="false" customHeight="false" outlineLevel="0" collapsed="false">
      <c r="A49" s="5" t="s">
        <v>94</v>
      </c>
      <c r="B49" s="14" t="n">
        <v>0.031</v>
      </c>
      <c r="C49" s="5" t="s">
        <v>19</v>
      </c>
      <c r="D49" s="7" t="s">
        <v>95</v>
      </c>
    </row>
    <row r="50" customFormat="false" ht="15" hidden="false" customHeight="false" outlineLevel="0" collapsed="false">
      <c r="A50" s="5" t="s">
        <v>96</v>
      </c>
      <c r="B50" s="14" t="n">
        <v>0.005</v>
      </c>
      <c r="C50" s="5" t="s">
        <v>19</v>
      </c>
      <c r="D50" s="7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8" min="8" style="0" width="62"/>
  </cols>
  <sheetData>
    <row r="1" customFormat="false" ht="16.15" hidden="false" customHeight="false" outlineLevel="0" collapsed="false">
      <c r="A1" s="1" t="s">
        <v>98</v>
      </c>
    </row>
    <row r="2" customFormat="false" ht="15" hidden="false" customHeight="false" outlineLevel="0" collapsed="false">
      <c r="A2" s="7" t="s">
        <v>99</v>
      </c>
    </row>
    <row r="4" customFormat="false" ht="15" hidden="false" customHeight="false" outlineLevel="0" collapsed="false">
      <c r="A4" s="9" t="s">
        <v>100</v>
      </c>
      <c r="B4" s="9" t="s">
        <v>101</v>
      </c>
      <c r="C4" s="9" t="s">
        <v>102</v>
      </c>
      <c r="D4" s="9" t="s">
        <v>103</v>
      </c>
      <c r="E4" s="9" t="s">
        <v>104</v>
      </c>
      <c r="F4" s="9" t="s">
        <v>105</v>
      </c>
      <c r="G4" s="9" t="s">
        <v>9</v>
      </c>
      <c r="H4" s="9" t="s">
        <v>106</v>
      </c>
    </row>
    <row r="5" customFormat="false" ht="15" hidden="false" customHeight="false" outlineLevel="0" collapsed="false">
      <c r="A5" s="4" t="s">
        <v>107</v>
      </c>
      <c r="B5" s="20"/>
      <c r="C5" s="20"/>
      <c r="D5" s="20"/>
      <c r="E5" s="20"/>
      <c r="F5" s="20"/>
      <c r="G5" s="20"/>
      <c r="H5" s="20"/>
    </row>
    <row r="6" customFormat="false" ht="23.85" hidden="false" customHeight="false" outlineLevel="0" collapsed="false">
      <c r="A6" s="21" t="n">
        <v>1</v>
      </c>
      <c r="B6" s="22" t="s">
        <v>108</v>
      </c>
      <c r="C6" s="22" t="s">
        <v>109</v>
      </c>
      <c r="D6" s="23" t="n">
        <f aca="false">Dados!$D$13/Dados!$B$22</f>
        <v>10857.7777777778</v>
      </c>
      <c r="E6" s="23" t="n">
        <f aca="false">Dados!$B$4</f>
        <v>7200</v>
      </c>
      <c r="F6" s="24" t="n">
        <f aca="false">IFERROR(D6/E6-1,0)</f>
        <v>0.508024691358025</v>
      </c>
      <c r="G6" s="25" t="s">
        <v>110</v>
      </c>
      <c r="H6" s="22" t="s">
        <v>111</v>
      </c>
    </row>
    <row r="7" customFormat="false" ht="15" hidden="false" customHeight="false" outlineLevel="0" collapsed="false">
      <c r="A7" s="4" t="s">
        <v>31</v>
      </c>
      <c r="B7" s="20"/>
      <c r="C7" s="20"/>
      <c r="D7" s="20"/>
      <c r="E7" s="20"/>
      <c r="F7" s="20"/>
      <c r="G7" s="20"/>
      <c r="H7" s="20"/>
    </row>
    <row r="8" customFormat="false" ht="23.85" hidden="false" customHeight="false" outlineLevel="0" collapsed="false">
      <c r="A8" s="21" t="n">
        <v>2</v>
      </c>
      <c r="B8" s="22" t="s">
        <v>112</v>
      </c>
      <c r="C8" s="22" t="s">
        <v>113</v>
      </c>
      <c r="D8" s="23" t="n">
        <f aca="false">Dados!$B$4*Dados!$B$5</f>
        <v>4464</v>
      </c>
      <c r="E8" s="23" t="n">
        <f aca="false">Dados!$D$12</f>
        <v>2730.3</v>
      </c>
      <c r="F8" s="24" t="n">
        <f aca="false">IFERROR(D8/E8-1,0)</f>
        <v>0.634985166465224</v>
      </c>
      <c r="G8" s="25" t="s">
        <v>110</v>
      </c>
      <c r="H8" s="22" t="s">
        <v>114</v>
      </c>
    </row>
    <row r="9" customFormat="false" ht="23.85" hidden="false" customHeight="false" outlineLevel="0" collapsed="false">
      <c r="A9" s="21" t="n">
        <v>3</v>
      </c>
      <c r="B9" s="22" t="s">
        <v>115</v>
      </c>
      <c r="C9" s="22" t="s">
        <v>116</v>
      </c>
      <c r="D9" s="23" t="n">
        <f aca="false">Dados!$B$4*Dados!$B$5*Dados!$B$21</f>
        <v>1964.16</v>
      </c>
      <c r="E9" s="23" t="n">
        <f aca="false">Dados!$D$12</f>
        <v>2730.3</v>
      </c>
      <c r="F9" s="24" t="n">
        <f aca="false">IFERROR(D9/E9-1,0)</f>
        <v>-0.280606526755302</v>
      </c>
      <c r="G9" s="25" t="s">
        <v>110</v>
      </c>
      <c r="H9" s="22" t="s">
        <v>117</v>
      </c>
    </row>
    <row r="10" customFormat="false" ht="23.85" hidden="false" customHeight="false" outlineLevel="0" collapsed="false">
      <c r="A10" s="21" t="n">
        <v>4</v>
      </c>
      <c r="B10" s="22" t="s">
        <v>118</v>
      </c>
      <c r="C10" s="22" t="s">
        <v>119</v>
      </c>
      <c r="D10" s="26" t="n">
        <f aca="false">Dados!$G$12/Dados!$G$15</f>
        <v>0.616391714078598</v>
      </c>
      <c r="E10" s="26" t="n">
        <f aca="false">Dados!$B$21</f>
        <v>0.44</v>
      </c>
      <c r="F10" s="27" t="n">
        <f aca="false">(D10-E10)*100</f>
        <v>17.6391714078598</v>
      </c>
      <c r="G10" s="25" t="s">
        <v>110</v>
      </c>
      <c r="H10" s="22" t="s">
        <v>120</v>
      </c>
    </row>
    <row r="11" customFormat="false" ht="15" hidden="false" customHeight="false" outlineLevel="0" collapsed="false">
      <c r="A11" s="21" t="n">
        <v>5</v>
      </c>
      <c r="B11" s="22" t="s">
        <v>121</v>
      </c>
      <c r="C11" s="22" t="s">
        <v>122</v>
      </c>
      <c r="D11" s="23" t="n">
        <f aca="false">Dados!$B$4*Dados!$B$21</f>
        <v>3168</v>
      </c>
      <c r="E11" s="23" t="n">
        <f aca="false">Dados!$D$12</f>
        <v>2730.3</v>
      </c>
      <c r="F11" s="24" t="n">
        <f aca="false">IFERROR(D11/E11-1,0)</f>
        <v>0.160312053620481</v>
      </c>
      <c r="G11" s="28" t="s">
        <v>123</v>
      </c>
      <c r="H11" s="22" t="s">
        <v>124</v>
      </c>
    </row>
    <row r="12" customFormat="false" ht="23.85" hidden="false" customHeight="false" outlineLevel="0" collapsed="false">
      <c r="A12" s="21" t="n">
        <v>6</v>
      </c>
      <c r="B12" s="22" t="s">
        <v>121</v>
      </c>
      <c r="C12" s="22" t="s">
        <v>125</v>
      </c>
      <c r="D12" s="23" t="n">
        <f aca="false">Dados!$B$4*Dados!$B$21</f>
        <v>3168</v>
      </c>
      <c r="E12" s="23" t="n">
        <f aca="false">Dados!$D$12*Dados!$B$27/Dados!$B$28</f>
        <v>3463.68095910681</v>
      </c>
      <c r="F12" s="24" t="n">
        <f aca="false">IFERROR(D12/E12-1,0)</f>
        <v>-0.0853661069243097</v>
      </c>
      <c r="G12" s="28" t="s">
        <v>123</v>
      </c>
      <c r="H12" s="22" t="s">
        <v>126</v>
      </c>
    </row>
    <row r="13" customFormat="false" ht="23.85" hidden="false" customHeight="false" outlineLevel="0" collapsed="false">
      <c r="A13" s="21" t="n">
        <v>7</v>
      </c>
      <c r="B13" s="22" t="s">
        <v>127</v>
      </c>
      <c r="C13" s="22" t="s">
        <v>128</v>
      </c>
      <c r="D13" s="26" t="n">
        <f aca="false">Dados!$G$12/Dados!$B$4</f>
        <v>0.389722222222222</v>
      </c>
      <c r="E13" s="26" t="n">
        <f aca="false">Dados!$B$21</f>
        <v>0.44</v>
      </c>
      <c r="F13" s="27" t="n">
        <f aca="false">(D13-E13)*100</f>
        <v>-5.02777777777778</v>
      </c>
      <c r="G13" s="28" t="s">
        <v>123</v>
      </c>
      <c r="H13" s="22" t="s">
        <v>129</v>
      </c>
    </row>
    <row r="14" customFormat="false" ht="23.85" hidden="false" customHeight="false" outlineLevel="0" collapsed="false">
      <c r="A14" s="21" t="n">
        <v>8</v>
      </c>
      <c r="B14" s="22" t="s">
        <v>130</v>
      </c>
      <c r="C14" s="22" t="s">
        <v>131</v>
      </c>
      <c r="D14" s="26" t="n">
        <f aca="false">Dados!$B$33</f>
        <v>0.161</v>
      </c>
      <c r="E14" s="26" t="n">
        <f aca="false">Dados!$C$12/Dados!$B$12-1</f>
        <v>0.16964767211936</v>
      </c>
      <c r="F14" s="27" t="n">
        <f aca="false">(D14-E14)*100</f>
        <v>-0.864767211936005</v>
      </c>
      <c r="G14" s="29" t="s">
        <v>132</v>
      </c>
      <c r="H14" s="22" t="s">
        <v>133</v>
      </c>
    </row>
    <row r="15" customFormat="false" ht="23.85" hidden="false" customHeight="false" outlineLevel="0" collapsed="false">
      <c r="A15" s="21" t="n">
        <v>9</v>
      </c>
      <c r="B15" s="22" t="s">
        <v>134</v>
      </c>
      <c r="C15" s="22" t="s">
        <v>135</v>
      </c>
      <c r="D15" s="26" t="n">
        <f aca="false">Dados!$B$34/Dados!$B$32-1</f>
        <v>0.142857142857143</v>
      </c>
      <c r="E15" s="26" t="n">
        <f aca="false">Dados!$D$12/Dados!$C$12-1</f>
        <v>0.0490260114496486</v>
      </c>
      <c r="F15" s="27" t="n">
        <f aca="false">(D15-E15)*100</f>
        <v>9.38311314074942</v>
      </c>
      <c r="G15" s="25" t="s">
        <v>110</v>
      </c>
      <c r="H15" s="22" t="s">
        <v>136</v>
      </c>
    </row>
    <row r="16" customFormat="false" ht="23.85" hidden="false" customHeight="false" outlineLevel="0" collapsed="false">
      <c r="A16" s="21" t="n">
        <v>10</v>
      </c>
      <c r="B16" s="22" t="s">
        <v>137</v>
      </c>
      <c r="C16" s="22" t="s">
        <v>138</v>
      </c>
      <c r="D16" s="26" t="n">
        <f aca="false">Dados!$B$35/Dados!$B$34-1</f>
        <v>0.1875</v>
      </c>
      <c r="E16" s="26" t="n">
        <f aca="false">Dados!$F$12/Dados!$E$12-1</f>
        <v>0.0579987741342323</v>
      </c>
      <c r="F16" s="27" t="n">
        <f aca="false">(D16-E16)*100</f>
        <v>12.9501225865768</v>
      </c>
      <c r="G16" s="25" t="s">
        <v>110</v>
      </c>
      <c r="H16" s="22" t="s">
        <v>139</v>
      </c>
    </row>
    <row r="17" customFormat="false" ht="23.85" hidden="false" customHeight="false" outlineLevel="0" collapsed="false">
      <c r="A17" s="21" t="n">
        <v>11</v>
      </c>
      <c r="B17" s="22" t="s">
        <v>140</v>
      </c>
      <c r="C17" s="22" t="s">
        <v>141</v>
      </c>
      <c r="D17" s="23" t="n">
        <f aca="false">Dados!$C$12*Dados!$B$34/Dados!$B$32</f>
        <v>2974.51428571429</v>
      </c>
      <c r="E17" s="23" t="n">
        <f aca="false">Dados!$D$12</f>
        <v>2730.3</v>
      </c>
      <c r="F17" s="24" t="n">
        <f aca="false">IFERROR(D17/E17-1,0)</f>
        <v>0.0894459530873111</v>
      </c>
      <c r="G17" s="25" t="s">
        <v>110</v>
      </c>
      <c r="H17" s="22" t="s">
        <v>142</v>
      </c>
    </row>
    <row r="18" customFormat="false" ht="23.85" hidden="false" customHeight="false" outlineLevel="0" collapsed="false">
      <c r="A18" s="21" t="n">
        <v>12</v>
      </c>
      <c r="B18" s="22" t="s">
        <v>143</v>
      </c>
      <c r="C18" s="22" t="s">
        <v>144</v>
      </c>
      <c r="D18" s="23" t="n">
        <f aca="false">Dados!$D$12*(1+((Dados!$B$34/Dados!$B$31)^(1/7)-1))^Dados!$B$48</f>
        <v>11959.9761767865</v>
      </c>
      <c r="E18" s="23" t="n">
        <f aca="false">Dados!$D$12*((1+Dados!$B$46)*(1+Dados!$B$47))^Dados!$B$48</f>
        <v>4956.28311290059</v>
      </c>
      <c r="F18" s="24" t="n">
        <f aca="false">IFERROR(D18/E18-1,0)</f>
        <v>1.41309382542256</v>
      </c>
      <c r="G18" s="25" t="s">
        <v>110</v>
      </c>
      <c r="H18" s="22" t="s">
        <v>145</v>
      </c>
    </row>
    <row r="19" customFormat="false" ht="15" hidden="false" customHeight="false" outlineLevel="0" collapsed="false">
      <c r="A19" s="4" t="s">
        <v>146</v>
      </c>
      <c r="B19" s="20"/>
      <c r="C19" s="20"/>
      <c r="D19" s="20"/>
      <c r="E19" s="20"/>
      <c r="F19" s="20"/>
      <c r="G19" s="20"/>
      <c r="H19" s="20"/>
    </row>
    <row r="20" customFormat="false" ht="23.85" hidden="false" customHeight="false" outlineLevel="0" collapsed="false">
      <c r="A20" s="21" t="n">
        <v>13</v>
      </c>
      <c r="B20" s="22" t="s">
        <v>147</v>
      </c>
      <c r="C20" s="22" t="s">
        <v>148</v>
      </c>
      <c r="D20" s="30" t="n">
        <f aca="false">(Dados!$D$14*Dados!$B$6)/(Dados!$B$36*1000*Dados!$B$24)</f>
        <v>2.54014844804319</v>
      </c>
      <c r="E20" s="30" t="n">
        <f aca="false">Dados!$B$37*Dados!$B$39</f>
        <v>1.746</v>
      </c>
      <c r="F20" s="24" t="n">
        <f aca="false">IFERROR(D20/E20-1,0)</f>
        <v>0.454838744583726</v>
      </c>
      <c r="G20" s="25" t="s">
        <v>110</v>
      </c>
      <c r="H20" s="22" t="s">
        <v>149</v>
      </c>
    </row>
    <row r="21" customFormat="false" ht="23.85" hidden="false" customHeight="false" outlineLevel="0" collapsed="false">
      <c r="A21" s="21" t="n">
        <v>14</v>
      </c>
      <c r="B21" s="22" t="s">
        <v>147</v>
      </c>
      <c r="C21" s="22" t="s">
        <v>150</v>
      </c>
      <c r="D21" s="26" t="n">
        <f aca="false">(Dados!$B$36*1000*Dados!$B$24*Dados!$B$37*Dados!$B$39)/Dados!$D$14</f>
        <v>0.343680701288352</v>
      </c>
      <c r="E21" s="26" t="n">
        <f aca="false">Dados!$B$6</f>
        <v>0.5</v>
      </c>
      <c r="F21" s="27" t="n">
        <f aca="false">(D21-E21)*100</f>
        <v>-15.6319298711648</v>
      </c>
      <c r="G21" s="28" t="s">
        <v>123</v>
      </c>
      <c r="H21" s="22" t="s">
        <v>151</v>
      </c>
    </row>
    <row r="22" customFormat="false" ht="15" hidden="false" customHeight="false" outlineLevel="0" collapsed="false">
      <c r="A22" s="21" t="n">
        <v>15</v>
      </c>
      <c r="B22" s="22" t="s">
        <v>152</v>
      </c>
      <c r="C22" s="22" t="s">
        <v>153</v>
      </c>
      <c r="D22" s="26" t="n">
        <f aca="false">Dados!$B$7</f>
        <v>0.018</v>
      </c>
      <c r="E22" s="26" t="n">
        <f aca="false">Dados!$B$25</f>
        <v>0.017</v>
      </c>
      <c r="F22" s="27" t="n">
        <f aca="false">(D22-E22)*100</f>
        <v>0.0999999999999997</v>
      </c>
      <c r="G22" s="28" t="s">
        <v>123</v>
      </c>
      <c r="H22" s="22" t="s">
        <v>154</v>
      </c>
    </row>
    <row r="23" customFormat="false" ht="23.85" hidden="false" customHeight="false" outlineLevel="0" collapsed="false">
      <c r="A23" s="21" t="n">
        <v>16</v>
      </c>
      <c r="B23" s="22" t="s">
        <v>152</v>
      </c>
      <c r="C23" s="22" t="s">
        <v>155</v>
      </c>
      <c r="D23" s="31" t="n">
        <f aca="false">(Dados!$B$24/Dados!$B$26)^(1/5)-1</f>
        <v>-0.258916856453844</v>
      </c>
      <c r="E23" s="31" t="n">
        <f aca="false">0</f>
        <v>0</v>
      </c>
      <c r="F23" s="27" t="n">
        <f aca="false">(D23-E23)*100</f>
        <v>-25.8916856453844</v>
      </c>
      <c r="G23" s="25" t="s">
        <v>110</v>
      </c>
      <c r="H23" s="22" t="s">
        <v>156</v>
      </c>
    </row>
    <row r="24" customFormat="false" ht="23.85" hidden="false" customHeight="false" outlineLevel="0" collapsed="false">
      <c r="A24" s="21" t="n">
        <v>17</v>
      </c>
      <c r="B24" s="22" t="s">
        <v>157</v>
      </c>
      <c r="C24" s="22" t="s">
        <v>158</v>
      </c>
      <c r="D24" s="31" t="n">
        <f aca="false">(Dados!$B$37/Dados!$B$40)^(1/Dados!$B$41)-1</f>
        <v>-0.109635725365125</v>
      </c>
      <c r="E24" s="31" t="n">
        <f aca="false">0</f>
        <v>0</v>
      </c>
      <c r="F24" s="27" t="n">
        <f aca="false">(D24-E24)*100</f>
        <v>-10.9635725365125</v>
      </c>
      <c r="G24" s="28" t="s">
        <v>123</v>
      </c>
      <c r="H24" s="22" t="s">
        <v>159</v>
      </c>
    </row>
    <row r="25" customFormat="false" ht="23.85" hidden="false" customHeight="false" outlineLevel="0" collapsed="false">
      <c r="A25" s="21" t="n">
        <v>18</v>
      </c>
      <c r="B25" s="22" t="s">
        <v>160</v>
      </c>
      <c r="C25" s="22" t="s">
        <v>161</v>
      </c>
      <c r="D25" s="32" t="s">
        <v>162</v>
      </c>
      <c r="E25" s="32" t="s">
        <v>162</v>
      </c>
      <c r="F25" s="32" t="s">
        <v>162</v>
      </c>
      <c r="G25" s="28" t="s">
        <v>123</v>
      </c>
      <c r="H25" s="22" t="s">
        <v>163</v>
      </c>
    </row>
    <row r="26" customFormat="false" ht="15" hidden="false" customHeight="false" outlineLevel="0" collapsed="false">
      <c r="A26" s="4" t="s">
        <v>164</v>
      </c>
      <c r="B26" s="20"/>
      <c r="C26" s="20"/>
      <c r="D26" s="20"/>
      <c r="E26" s="20"/>
      <c r="F26" s="20"/>
      <c r="G26" s="20"/>
      <c r="H26" s="20"/>
    </row>
    <row r="27" customFormat="false" ht="23.85" hidden="false" customHeight="false" outlineLevel="0" collapsed="false">
      <c r="A27" s="21" t="n">
        <v>19</v>
      </c>
      <c r="B27" s="22" t="s">
        <v>165</v>
      </c>
      <c r="C27" s="22" t="s">
        <v>166</v>
      </c>
      <c r="D27" s="32" t="s">
        <v>162</v>
      </c>
      <c r="E27" s="32" t="s">
        <v>162</v>
      </c>
      <c r="F27" s="32" t="s">
        <v>162</v>
      </c>
      <c r="G27" s="28" t="s">
        <v>123</v>
      </c>
      <c r="H27" s="22" t="s">
        <v>167</v>
      </c>
    </row>
    <row r="28" customFormat="false" ht="23.85" hidden="false" customHeight="false" outlineLevel="0" collapsed="false">
      <c r="A28" s="21" t="n">
        <v>20</v>
      </c>
      <c r="B28" s="22" t="s">
        <v>168</v>
      </c>
      <c r="C28" s="22" t="s">
        <v>169</v>
      </c>
      <c r="D28" s="23" t="n">
        <f aca="false">Dados!$B$42*(1+Dados!$B$43)^Dados!$B$48</f>
        <v>141495.556979372</v>
      </c>
      <c r="E28" s="23" t="n">
        <f aca="false">Dados!$B$44</f>
        <v>63300</v>
      </c>
      <c r="F28" s="24" t="n">
        <f aca="false">IFERROR(D28/E28-1,0)</f>
        <v>1.23531685591425</v>
      </c>
      <c r="G28" s="25" t="s">
        <v>110</v>
      </c>
      <c r="H28" s="22" t="s">
        <v>170</v>
      </c>
    </row>
    <row r="29" customFormat="false" ht="15" hidden="false" customHeight="false" outlineLevel="0" collapsed="false">
      <c r="A29" s="4" t="s">
        <v>32</v>
      </c>
      <c r="B29" s="20"/>
      <c r="C29" s="20"/>
      <c r="D29" s="20"/>
      <c r="E29" s="20"/>
      <c r="F29" s="20"/>
      <c r="G29" s="20"/>
      <c r="H29" s="20"/>
    </row>
    <row r="30" customFormat="false" ht="23.85" hidden="false" customHeight="false" outlineLevel="0" collapsed="false">
      <c r="A30" s="21" t="n">
        <v>21</v>
      </c>
      <c r="B30" s="22" t="s">
        <v>171</v>
      </c>
      <c r="C30" s="22" t="s">
        <v>172</v>
      </c>
      <c r="D30" s="26" t="n">
        <f aca="false">Dados!$D$13/Dados!$C$13-1</f>
        <v>-0.0800225946149501</v>
      </c>
      <c r="E30" s="26" t="n">
        <f aca="false">Dados!$B$45</f>
        <v>0.027</v>
      </c>
      <c r="F30" s="27" t="n">
        <f aca="false">(D30-E30)*100</f>
        <v>-10.702259461495</v>
      </c>
      <c r="G30" s="25" t="s">
        <v>110</v>
      </c>
      <c r="H30" s="22" t="s">
        <v>173</v>
      </c>
    </row>
    <row r="31" customFormat="false" ht="23.85" hidden="false" customHeight="false" outlineLevel="0" collapsed="false">
      <c r="A31" s="21" t="n">
        <v>22</v>
      </c>
      <c r="B31" s="22" t="s">
        <v>171</v>
      </c>
      <c r="C31" s="22" t="s">
        <v>174</v>
      </c>
      <c r="D31" s="26" t="n">
        <f aca="false">Dados!$F$13/Dados!$E$13-1</f>
        <v>0.137213254035684</v>
      </c>
      <c r="E31" s="26" t="n">
        <f aca="false">Dados!$B$45</f>
        <v>0.027</v>
      </c>
      <c r="F31" s="27" t="n">
        <f aca="false">(D31-E31)*100</f>
        <v>11.0213254035684</v>
      </c>
      <c r="G31" s="25" t="s">
        <v>110</v>
      </c>
      <c r="H31" s="22" t="s">
        <v>175</v>
      </c>
    </row>
    <row r="32" customFormat="false" ht="15" hidden="false" customHeight="false" outlineLevel="0" collapsed="false">
      <c r="A32" s="4" t="s">
        <v>176</v>
      </c>
      <c r="B32" s="20"/>
      <c r="C32" s="20"/>
      <c r="D32" s="20"/>
      <c r="E32" s="20"/>
      <c r="F32" s="20"/>
      <c r="G32" s="20"/>
      <c r="H32" s="20"/>
    </row>
    <row r="33" customFormat="false" ht="23.85" hidden="false" customHeight="false" outlineLevel="0" collapsed="false">
      <c r="A33" s="21" t="n">
        <v>23</v>
      </c>
      <c r="B33" s="22" t="s">
        <v>177</v>
      </c>
      <c r="C33" s="22" t="s">
        <v>178</v>
      </c>
      <c r="D33" s="33" t="n">
        <f aca="false">Dados!$B$27/Dados!$B$28</f>
        <v>1.2686081965743</v>
      </c>
      <c r="E33" s="33" t="n">
        <f aca="false">Dados!$B$29/Dados!$B$30</f>
        <v>1.2650911461071</v>
      </c>
      <c r="F33" s="24" t="n">
        <f aca="false">IFERROR(D33/E33-1,0)</f>
        <v>0.00278007673835723</v>
      </c>
      <c r="G33" s="28" t="s">
        <v>123</v>
      </c>
      <c r="H33" s="22" t="s">
        <v>179</v>
      </c>
    </row>
    <row r="34" customFormat="false" ht="23.85" hidden="false" customHeight="false" outlineLevel="0" collapsed="false">
      <c r="A34" s="21" t="n">
        <v>24</v>
      </c>
      <c r="B34" s="22" t="s">
        <v>180</v>
      </c>
      <c r="C34" s="22" t="s">
        <v>181</v>
      </c>
      <c r="D34" s="23" t="n">
        <f aca="false">Dados!$B$4*Dados!$B$5+Dados!$D$13*(1+Dados!$B$45)+Dados!$G$14</f>
        <v>6172.0844</v>
      </c>
      <c r="E34" s="23" t="n">
        <f aca="false">Dados!$D$15</f>
        <v>4460.4</v>
      </c>
      <c r="F34" s="24" t="n">
        <f aca="false">IFERROR(D34/E34-1,0)</f>
        <v>0.383751322751323</v>
      </c>
      <c r="G34" s="25" t="s">
        <v>110</v>
      </c>
      <c r="H34" s="22" t="s">
        <v>182</v>
      </c>
    </row>
    <row r="36" customFormat="false" ht="15" hidden="false" customHeight="false" outlineLevel="0" collapsed="false">
      <c r="A36" s="2" t="s">
        <v>183</v>
      </c>
    </row>
    <row r="37" customFormat="false" ht="15" hidden="false" customHeight="false" outlineLevel="0" collapsed="false">
      <c r="B37" s="5" t="s">
        <v>184</v>
      </c>
      <c r="D37" s="5" t="n">
        <f aca="false">COUNTIF(G5:G34,"Reprovada")</f>
        <v>14</v>
      </c>
    </row>
    <row r="38" customFormat="false" ht="15" hidden="false" customHeight="false" outlineLevel="0" collapsed="false">
      <c r="B38" s="5" t="s">
        <v>123</v>
      </c>
      <c r="D38" s="5" t="n">
        <f aca="false">COUNTIF(G5:G34,"Ajustar")</f>
        <v>9</v>
      </c>
    </row>
    <row r="39" customFormat="false" ht="15" hidden="false" customHeight="false" outlineLevel="0" collapsed="false">
      <c r="B39" s="5" t="s">
        <v>132</v>
      </c>
      <c r="D39" s="5" t="n">
        <f aca="false">COUNTIF(G5:G34,"OK")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3" min="2" style="0" width="10"/>
    <col collapsed="false" customWidth="true" hidden="false" outlineLevel="0" max="14" min="14" style="0" width="12"/>
  </cols>
  <sheetData>
    <row r="1" customFormat="false" ht="16.1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7" t="s">
        <v>186</v>
      </c>
    </row>
    <row r="4" customFormat="false" ht="15" hidden="false" customHeight="false" outlineLevel="0" collapsed="false">
      <c r="A4" s="4" t="s">
        <v>187</v>
      </c>
    </row>
    <row r="5" customFormat="false" ht="15" hidden="false" customHeight="false" outlineLevel="0" collapsed="false">
      <c r="A5" s="5" t="s">
        <v>188</v>
      </c>
      <c r="B5" s="34" t="n">
        <f aca="false">(Dados!$B$34/Dados!$B$31)^(1/7)-1</f>
        <v>0.143720735935643</v>
      </c>
    </row>
    <row r="6" customFormat="false" ht="15" hidden="false" customHeight="false" outlineLevel="0" collapsed="false">
      <c r="A6" s="5" t="s">
        <v>189</v>
      </c>
      <c r="B6" s="34" t="n">
        <f aca="false">Dados!$B$35/Dados!$B$34-1</f>
        <v>0.1875</v>
      </c>
    </row>
    <row r="7" customFormat="false" ht="15" hidden="false" customHeight="false" outlineLevel="0" collapsed="false">
      <c r="A7" s="5" t="s">
        <v>190</v>
      </c>
      <c r="B7" s="34" t="n">
        <f aca="false">(1+Dados!$B$46)*(1+Dados!$B$47)-1</f>
        <v>0.0556999999999999</v>
      </c>
    </row>
    <row r="8" customFormat="false" ht="15" hidden="false" customHeight="false" outlineLevel="0" collapsed="false">
      <c r="A8" s="5" t="s">
        <v>191</v>
      </c>
      <c r="B8" s="34" t="n">
        <f aca="false">Dados!$D$12/Dados!$C$12*Dados!$B$20/Dados!$B$21-1</f>
        <v>0.0251845111894293</v>
      </c>
    </row>
    <row r="9" customFormat="false" ht="15" hidden="false" customHeight="false" outlineLevel="0" collapsed="false">
      <c r="A9" s="5" t="s">
        <v>192</v>
      </c>
      <c r="B9" s="34" t="n">
        <f aca="false">Dados!$B$43</f>
        <v>0.64</v>
      </c>
    </row>
    <row r="11" customFormat="false" ht="15" hidden="false" customHeight="false" outlineLevel="0" collapsed="false">
      <c r="A11" s="13" t="s">
        <v>193</v>
      </c>
      <c r="B11" s="9" t="s">
        <v>27</v>
      </c>
      <c r="C11" s="9" t="s">
        <v>194</v>
      </c>
      <c r="D11" s="9" t="s">
        <v>195</v>
      </c>
      <c r="E11" s="9" t="s">
        <v>196</v>
      </c>
      <c r="F11" s="9" t="s">
        <v>197</v>
      </c>
      <c r="G11" s="9" t="s">
        <v>198</v>
      </c>
      <c r="H11" s="9" t="s">
        <v>199</v>
      </c>
      <c r="I11" s="9" t="s">
        <v>200</v>
      </c>
      <c r="J11" s="9" t="s">
        <v>201</v>
      </c>
      <c r="K11" s="9" t="s">
        <v>202</v>
      </c>
      <c r="L11" s="9" t="s">
        <v>203</v>
      </c>
      <c r="M11" s="9" t="s">
        <v>204</v>
      </c>
      <c r="N11" s="9" t="s">
        <v>205</v>
      </c>
    </row>
    <row r="12" customFormat="false" ht="15" hidden="false" customHeight="false" outlineLevel="0" collapsed="false">
      <c r="A12" s="3" t="s">
        <v>206</v>
      </c>
      <c r="B12" s="35" t="n">
        <f aca="false">Dados!$D$12</f>
        <v>2730.3</v>
      </c>
      <c r="C12" s="36" t="n">
        <f aca="false">B12*(1+$B$5)</f>
        <v>3122.70072532509</v>
      </c>
      <c r="D12" s="36" t="n">
        <f aca="false">C12*(1+$B$5)</f>
        <v>3571.49757167557</v>
      </c>
      <c r="E12" s="36" t="n">
        <f aca="false">D12*(1+$B$5)</f>
        <v>4084.79583106914</v>
      </c>
      <c r="F12" s="36" t="n">
        <f aca="false">E12*(1+$B$5)</f>
        <v>4671.86569405725</v>
      </c>
      <c r="G12" s="36" t="n">
        <f aca="false">F12*(1+$B$5)</f>
        <v>5343.30966979963</v>
      </c>
      <c r="H12" s="36" t="n">
        <f aca="false">G12*(1+$B$5)</f>
        <v>6111.25406787527</v>
      </c>
      <c r="I12" s="36" t="n">
        <f aca="false">H12*(1+$B$5)</f>
        <v>6989.568</v>
      </c>
      <c r="J12" s="36" t="n">
        <f aca="false">I12*(1+$B$5)</f>
        <v>7994.11385683221</v>
      </c>
      <c r="K12" s="36" t="n">
        <f aca="false">J12*(1+$B$5)</f>
        <v>9143.03378348946</v>
      </c>
      <c r="L12" s="36" t="n">
        <f aca="false">K12*(1+$B$5)</f>
        <v>10457.077327537</v>
      </c>
      <c r="M12" s="36" t="n">
        <f aca="false">L12*(1+$B$5)</f>
        <v>11959.9761767865</v>
      </c>
      <c r="N12" s="37" t="n">
        <f aca="false">M12/B12</f>
        <v>4.38046228501869</v>
      </c>
    </row>
    <row r="13" customFormat="false" ht="23.85" hidden="false" customHeight="false" outlineLevel="0" collapsed="false">
      <c r="A13" s="3" t="s">
        <v>207</v>
      </c>
      <c r="B13" s="38" t="s">
        <v>162</v>
      </c>
      <c r="C13" s="35" t="n">
        <f aca="false">Dados!$B$4*Dados!$B$5</f>
        <v>4464</v>
      </c>
      <c r="D13" s="36" t="n">
        <f aca="false">C13*(1+$B$5)</f>
        <v>5105.56936521671</v>
      </c>
      <c r="E13" s="36" t="n">
        <f aca="false">D13*(1+$B$5)</f>
        <v>5839.34555175613</v>
      </c>
      <c r="F13" s="36" t="n">
        <f aca="false">E13*(1+$B$5)</f>
        <v>6678.58059183704</v>
      </c>
      <c r="G13" s="36" t="n">
        <f aca="false">F13*(1+$B$5)</f>
        <v>7638.43110950135</v>
      </c>
      <c r="H13" s="36" t="n">
        <f aca="false">G13*(1+$B$5)</f>
        <v>8736.23204995259</v>
      </c>
      <c r="I13" s="36" t="n">
        <f aca="false">H13*(1+$B$5)</f>
        <v>9991.80974947633</v>
      </c>
      <c r="J13" s="36" t="n">
        <f aca="false">I13*(1+$B$5)</f>
        <v>11427.84</v>
      </c>
      <c r="K13" s="36" t="n">
        <f aca="false">J13*(1+$B$5)</f>
        <v>13070.2575749548</v>
      </c>
      <c r="L13" s="36" t="n">
        <f aca="false">K13*(1+$B$5)</f>
        <v>14948.7246124957</v>
      </c>
      <c r="M13" s="36" t="n">
        <f aca="false">L13*(1+$B$5)</f>
        <v>17097.1663151028</v>
      </c>
      <c r="N13" s="37" t="n">
        <f aca="false">M13/Dados!$D$12</f>
        <v>6.26201015093682</v>
      </c>
    </row>
    <row r="14" customFormat="false" ht="15" hidden="false" customHeight="false" outlineLevel="0" collapsed="false">
      <c r="A14" s="3" t="s">
        <v>208</v>
      </c>
      <c r="B14" s="35" t="n">
        <f aca="false">Dados!$D$12</f>
        <v>2730.3</v>
      </c>
      <c r="C14" s="36" t="n">
        <f aca="false">B14*(1+$B$7)</f>
        <v>2882.37771</v>
      </c>
      <c r="D14" s="36" t="n">
        <f aca="false">C14*(1+$B$7)</f>
        <v>3042.926148447</v>
      </c>
      <c r="E14" s="36" t="n">
        <f aca="false">D14*(1+$B$7)</f>
        <v>3212.4171349155</v>
      </c>
      <c r="F14" s="36" t="n">
        <f aca="false">E14*(1+$B$7)</f>
        <v>3391.34876933029</v>
      </c>
      <c r="G14" s="36" t="n">
        <f aca="false">F14*(1+$B$7)</f>
        <v>3580.24689578199</v>
      </c>
      <c r="H14" s="36" t="n">
        <f aca="false">G14*(1+$B$7)</f>
        <v>3779.66664787704</v>
      </c>
      <c r="I14" s="36" t="n">
        <f aca="false">H14*(1+$B$7)</f>
        <v>3990.19408016379</v>
      </c>
      <c r="J14" s="36" t="n">
        <f aca="false">I14*(1+$B$7)</f>
        <v>4212.44789042892</v>
      </c>
      <c r="K14" s="36" t="n">
        <f aca="false">J14*(1+$B$7)</f>
        <v>4447.08123792581</v>
      </c>
      <c r="L14" s="36" t="n">
        <f aca="false">K14*(1+$B$7)</f>
        <v>4694.78366287827</v>
      </c>
      <c r="M14" s="36" t="n">
        <f aca="false">L14*(1+$B$7)</f>
        <v>4956.28311290059</v>
      </c>
      <c r="N14" s="37" t="n">
        <f aca="false">M14/B14</f>
        <v>1.81528883745398</v>
      </c>
    </row>
    <row r="15" customFormat="false" ht="15" hidden="false" customHeight="false" outlineLevel="0" collapsed="false">
      <c r="A15" s="3" t="s">
        <v>209</v>
      </c>
      <c r="B15" s="35" t="n">
        <f aca="false">Dados!$D$12</f>
        <v>2730.3</v>
      </c>
      <c r="C15" s="36" t="n">
        <f aca="false">B15*(1+$B$8)</f>
        <v>2799.0612709005</v>
      </c>
      <c r="D15" s="36" t="n">
        <f aca="false">C15*(1+$B$8)</f>
        <v>2869.55426079739</v>
      </c>
      <c r="E15" s="36" t="n">
        <f aca="false">D15*(1+$B$8)</f>
        <v>2941.82258218712</v>
      </c>
      <c r="F15" s="36" t="n">
        <f aca="false">E15*(1+$B$8)</f>
        <v>3015.91094592552</v>
      </c>
      <c r="G15" s="36" t="n">
        <f aca="false">F15*(1+$B$8)</f>
        <v>3091.86518888951</v>
      </c>
      <c r="H15" s="36" t="n">
        <f aca="false">G15*(1+$B$8)</f>
        <v>3169.7323023353</v>
      </c>
      <c r="I15" s="36" t="n">
        <f aca="false">H15*(1+$B$8)</f>
        <v>3249.56046097096</v>
      </c>
      <c r="J15" s="36" t="n">
        <f aca="false">I15*(1+$B$8)</f>
        <v>3331.39905276101</v>
      </c>
      <c r="K15" s="36" t="n">
        <f aca="false">J15*(1+$B$8)</f>
        <v>3415.29870948173</v>
      </c>
      <c r="L15" s="36" t="n">
        <f aca="false">K15*(1+$B$8)</f>
        <v>3501.31133804591</v>
      </c>
      <c r="M15" s="36" t="n">
        <f aca="false">L15*(1+$B$8)</f>
        <v>3589.49015261661</v>
      </c>
      <c r="N15" s="37" t="n">
        <f aca="false">M15/B15</f>
        <v>1.3146870866266</v>
      </c>
    </row>
    <row r="16" customFormat="false" ht="15" hidden="false" customHeight="false" outlineLevel="0" collapsed="false">
      <c r="A16" s="3" t="s">
        <v>210</v>
      </c>
      <c r="B16" s="35" t="n">
        <f aca="false">Dados!$B$42</f>
        <v>613</v>
      </c>
      <c r="C16" s="36" t="n">
        <f aca="false">B16*(1+$B$9)</f>
        <v>1005.32</v>
      </c>
      <c r="D16" s="36" t="n">
        <f aca="false">C16*(1+$B$9)</f>
        <v>1648.7248</v>
      </c>
      <c r="E16" s="36" t="n">
        <f aca="false">D16*(1+$B$9)</f>
        <v>2703.908672</v>
      </c>
      <c r="F16" s="36" t="n">
        <f aca="false">E16*(1+$B$9)</f>
        <v>4434.41022208</v>
      </c>
      <c r="G16" s="36" t="n">
        <f aca="false">F16*(1+$B$9)</f>
        <v>7272.4327642112</v>
      </c>
      <c r="H16" s="36" t="n">
        <f aca="false">G16*(1+$B$9)</f>
        <v>11926.7897333064</v>
      </c>
      <c r="I16" s="36" t="n">
        <f aca="false">H16*(1+$B$9)</f>
        <v>19559.9351626225</v>
      </c>
      <c r="J16" s="36" t="n">
        <f aca="false">I16*(1+$B$9)</f>
        <v>32078.2936667008</v>
      </c>
      <c r="K16" s="36" t="n">
        <f aca="false">J16*(1+$B$9)</f>
        <v>52608.4016133894</v>
      </c>
      <c r="L16" s="36" t="n">
        <f aca="false">K16*(1+$B$9)</f>
        <v>86277.7786459586</v>
      </c>
      <c r="M16" s="36" t="n">
        <f aca="false">L16*(1+$B$9)</f>
        <v>141495.556979372</v>
      </c>
      <c r="N16" s="37" t="n">
        <f aca="false">M16/B16</f>
        <v>230.824725904359</v>
      </c>
    </row>
    <row r="18" customFormat="false" ht="15" hidden="false" customHeight="false" outlineLevel="0" collapsed="false">
      <c r="A18" s="4" t="s">
        <v>211</v>
      </c>
    </row>
    <row r="19" customFormat="false" ht="15" hidden="false" customHeight="false" outlineLevel="0" collapsed="false">
      <c r="A19" s="5" t="s">
        <v>212</v>
      </c>
      <c r="M19" s="35" t="n">
        <f aca="false">Dados!$B$4</f>
        <v>7200</v>
      </c>
    </row>
    <row r="20" customFormat="false" ht="15" hidden="false" customHeight="false" outlineLevel="0" collapsed="false">
      <c r="A20" s="5" t="s">
        <v>213</v>
      </c>
      <c r="M20" s="35" t="n">
        <f aca="false">Dados!$D$15</f>
        <v>4460.4</v>
      </c>
    </row>
    <row r="21" customFormat="false" ht="15" hidden="false" customHeight="false" outlineLevel="0" collapsed="false">
      <c r="A21" s="5" t="s">
        <v>214</v>
      </c>
      <c r="M21" s="35" t="n">
        <f aca="false">Dados!$B$44</f>
        <v>63300</v>
      </c>
    </row>
    <row r="23" customFormat="false" ht="15" hidden="false" customHeight="false" outlineLevel="0" collapsed="false">
      <c r="A23" s="7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2026-10-22T22:14:52Z</dcterms:created>
  <dc:creator>openpyxl</dc:creator>
  <dc:description/>
  <dc:language>en-US</dc:language>
  <cp:lastModifiedBy/>
  <dcterms:modified xsi:type="dcterms:W3CDTF">2026-10-22T22:14:52Z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